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Repos\Yggdrasil_Machine_Learning\Data\raw\"/>
    </mc:Choice>
  </mc:AlternateContent>
  <xr:revisionPtr revIDLastSave="0" documentId="13_ncr:1_{AD3E9691-2A00-4F00-B1DE-FB4ACB4C0924}" xr6:coauthVersionLast="47" xr6:coauthVersionMax="47" xr10:uidLastSave="{00000000-0000-0000-0000-000000000000}"/>
  <bookViews>
    <workbookView xWindow="25490" yWindow="-110" windowWidth="38620" windowHeight="21100" xr2:uid="{1ABC4233-AE61-4FE0-8138-0C534610E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9" i="1" l="1" a="1"/>
  <c r="B59" i="1" s="1"/>
  <c r="B58" i="1" a="1"/>
  <c r="B58" i="1" s="1"/>
  <c r="B57" i="1" a="1"/>
  <c r="B57" i="1" s="1"/>
  <c r="B56" i="1" a="1"/>
  <c r="B56" i="1" s="1"/>
  <c r="B55" i="1" a="1"/>
  <c r="B55" i="1" s="1"/>
  <c r="B54" i="1" a="1"/>
  <c r="B54" i="1" s="1"/>
  <c r="B53" i="1" a="1"/>
  <c r="B53" i="1" s="1"/>
  <c r="B52" i="1" a="1"/>
  <c r="B52" i="1" s="1"/>
  <c r="B51" i="1" a="1"/>
  <c r="B51" i="1" s="1"/>
  <c r="B50" i="1" a="1"/>
  <c r="B50" i="1" s="1"/>
  <c r="B49" i="1" a="1"/>
  <c r="B49" i="1" s="1"/>
  <c r="B48" i="1" a="1"/>
  <c r="B48" i="1" s="1"/>
  <c r="B47" i="1" a="1"/>
  <c r="B47" i="1" s="1"/>
  <c r="B46" i="1" a="1"/>
  <c r="B46" i="1" s="1"/>
  <c r="B45" i="1" a="1"/>
  <c r="B45" i="1" s="1"/>
  <c r="B44" i="1" a="1"/>
  <c r="B44" i="1" s="1"/>
  <c r="B43" i="1" a="1"/>
  <c r="B43" i="1" s="1"/>
  <c r="B42" i="1" a="1"/>
  <c r="B42" i="1" s="1"/>
  <c r="B41" i="1" a="1"/>
  <c r="B41" i="1" s="1"/>
  <c r="B40" i="1" a="1"/>
  <c r="B40" i="1" s="1"/>
  <c r="B39" i="1" a="1"/>
  <c r="B39" i="1" s="1"/>
  <c r="B38" i="1" a="1"/>
  <c r="B38" i="1" s="1"/>
  <c r="B37" i="1" a="1"/>
  <c r="B37" i="1" s="1"/>
  <c r="B36" i="1" a="1"/>
  <c r="B36" i="1" s="1"/>
  <c r="B35" i="1" a="1"/>
  <c r="B35" i="1" s="1"/>
  <c r="B34" i="1" a="1"/>
  <c r="B34" i="1" s="1"/>
  <c r="B33" i="1" a="1"/>
  <c r="B33" i="1" s="1"/>
  <c r="B32" i="1" a="1"/>
  <c r="B32" i="1" s="1"/>
  <c r="B31" i="1" a="1"/>
  <c r="B31" i="1" s="1"/>
  <c r="B30" i="1" a="1"/>
  <c r="B30" i="1" s="1"/>
  <c r="B29" i="1" a="1"/>
  <c r="B29" i="1" s="1"/>
  <c r="B28" i="1" a="1"/>
  <c r="B28" i="1" s="1"/>
  <c r="B27" i="1" a="1"/>
  <c r="B27" i="1" s="1"/>
  <c r="B26" i="1" a="1"/>
  <c r="B26" i="1" s="1"/>
  <c r="B25" i="1" a="1"/>
  <c r="B25" i="1" s="1"/>
  <c r="B24" i="1" a="1"/>
  <c r="B24" i="1" s="1"/>
  <c r="B23" i="1" a="1"/>
  <c r="B23" i="1" s="1"/>
  <c r="B22" i="1" a="1"/>
  <c r="B22" i="1" s="1"/>
  <c r="B21" i="1" a="1"/>
  <c r="B21" i="1" s="1"/>
  <c r="B20" i="1" a="1"/>
  <c r="B20" i="1" s="1"/>
  <c r="B19" i="1" a="1"/>
  <c r="B19" i="1" s="1"/>
  <c r="B18" i="1" a="1"/>
  <c r="B18" i="1" s="1"/>
  <c r="B17" i="1" a="1"/>
  <c r="B17" i="1" s="1"/>
  <c r="B16" i="1" a="1"/>
  <c r="B16" i="1" s="1"/>
  <c r="B15" i="1" a="1"/>
  <c r="B15" i="1" s="1"/>
  <c r="B14" i="1" a="1"/>
  <c r="B14" i="1" s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B8" i="1" a="1"/>
  <c r="B8" i="1" s="1"/>
  <c r="B7" i="1" a="1"/>
  <c r="B7" i="1" s="1"/>
  <c r="B6" i="1" a="1"/>
  <c r="B6" i="1" s="1"/>
  <c r="B5" i="1" a="1"/>
  <c r="B5" i="1" s="1"/>
  <c r="B4" i="1" a="1"/>
  <c r="B4" i="1" s="1"/>
  <c r="B3" i="1" a="1"/>
  <c r="B3" i="1" s="1"/>
  <c r="B2" i="1" a="1"/>
  <c r="B2" i="1" s="1"/>
  <c r="B1" i="1" a="1"/>
  <c r="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<sst xmlns="http://schemas.openxmlformats.org/spreadsheetml/2006/main" count="56" uniqueCount="56">
  <si>
    <t>circuit_name,description,ref_des,component_kind,component_type,component_value,component_value_type,pin_name,net_name</t>
  </si>
  <si>
    <t>button_debounce,RC debounce with schmitt trigger,V1,source,voltage,,,"POS",NET_VIN</t>
  </si>
  <si>
    <t>button_debounce,RC debounce with schmitt trigger,V1,source,voltage,,,"NEG",NET_GND</t>
  </si>
  <si>
    <t>button_debounce,RC debounce with schmitt trigger,R1,primitive,resistor,10000,ohmic,A,NET_VIN</t>
  </si>
  <si>
    <t>button_debounce,RC debounce with schmitt trigger,R1,primitive,resistor,10000,ohmic,B,NET_BUTTON_NODE</t>
  </si>
  <si>
    <t>button_debounce,RC debounce with schmitt trigger,R2,primitive,resistor,10000,ohmic,A,NET_BUTTON_NODE</t>
  </si>
  <si>
    <t>button_debounce,RC debounce with schmitt trigger,R2,primitive,resistor,10000,ohmic,B,NET_SCHMITT_IN</t>
  </si>
  <si>
    <t>button_debounce,RC debounce with schmitt trigger,D1,primitive,diode,,,"ANODE",NET_VIN</t>
  </si>
  <si>
    <t>button_debounce,RC debounce with schmitt trigger,D1,primitive,diode,,,"CATHODE",NET_SCHMITT_IN</t>
  </si>
  <si>
    <t>button_debounce,RC debounce with schmitt trigger,C1,primitive,capacitor,0.1,uf,A,NET_SCHMITT_IN</t>
  </si>
  <si>
    <t>button_debounce,RC debounce with schmitt trigger,C1,primitive,capacitor,0.1,uf,B,NET_GND</t>
  </si>
  <si>
    <t>button_debounce,RC debounce with schmitt trigger,SW1,primitive,switch,,,"A",NET_BUTTON_NODE</t>
  </si>
  <si>
    <t>button_debounce,RC debounce with schmitt trigger,SW1,primitive,switch,,,"B",NET_GND</t>
  </si>
  <si>
    <t>button_debounce,RC debounce with schmitt trigger,U1,block,schmitt_trigger,,,"IN",NET_SCHMITT_IN</t>
  </si>
  <si>
    <t>button_debounce,RC debounce with schmitt trigger,U1,block,schmitt_trigger,,,"OUT",NET_VOUT</t>
  </si>
  <si>
    <t>astable_555_timer,555 astable oscillator,V1,source,voltage,,,"POS",NET_VIN</t>
  </si>
  <si>
    <t>astable_555_timer,555 astable oscillator,V1,source,voltage,,,"NEG",NET_GND</t>
  </si>
  <si>
    <t>astable_555_timer,555 astable oscillator,U1,block,555_timer,,,"VCC",NET_VIN</t>
  </si>
  <si>
    <t>astable_555_timer,555 astable oscillator,U1,block,555_timer,,,"GND",NET_GND</t>
  </si>
  <si>
    <t>astable_555_timer,555 astable oscillator,U1,block,555_timer,,,"OUT",NET_VOUT</t>
  </si>
  <si>
    <t>astable_555_timer,555 astable oscillator,U1,block,555_timer,,,"DISCH",NET_DISCHARGE</t>
  </si>
  <si>
    <t>astable_555_timer,555 astable oscillator,U1,block,555_timer,,,"THRESH",NET_TIMING_NODE</t>
  </si>
  <si>
    <t>astable_555_timer,555 astable oscillator,U1,block,555_timer,,,"TRIG",NET_TIMING_NODE</t>
  </si>
  <si>
    <t>astable_555_timer,555 astable oscillator,R1,primitive,resistor,10000,ohmic,A,NET_VIN</t>
  </si>
  <si>
    <t>astable_555_timer,555 astable oscillator,R1,primitive,resistor,10000,ohmic,B,NET_DISCHARGE</t>
  </si>
  <si>
    <t>astable_555_timer,555 astable oscillator,R2,primitive,resistor,100000,ohmic,A,NET_DISCHARGE</t>
  </si>
  <si>
    <t>astable_555_timer,555 astable oscillator,R2,primitive,resistor,100000,ohmic,B,NET_TIMING_NODE</t>
  </si>
  <si>
    <t>astable_555_timer,555 astable oscillator,C1,primitive,capacitor,10,uf,A,NET_TIMING_NODE</t>
  </si>
  <si>
    <t>astable_555_timer,555 astable oscillator,C1,primitive,capacitor,10,uf,B,NET_GND</t>
  </si>
  <si>
    <t>bistable_555_timer,555 latch circuit,V1,source,voltage,,,"POS",NET_VIN</t>
  </si>
  <si>
    <t>bistable_555_timer,555 latch circuit,V1,source,voltage,,,"NEG",NET_GND</t>
  </si>
  <si>
    <t>bistable_555_timer,555 latch circuit,U1,block,555_timer,,,"OUT",NET_VOUT</t>
  </si>
  <si>
    <t>bistable_555_timer,555 latch circuit,U1,block,555_timer,,,"TRIG",NET_TRIGGER</t>
  </si>
  <si>
    <t>bistable_555_timer,555 latch circuit,U1,block,555_timer,,,"RESET",NET_RESET</t>
  </si>
  <si>
    <t>bistable_555_timer,555 latch circuit,R1,primitive,resistor,10000,ohmic,A,NET_VIN</t>
  </si>
  <si>
    <t>bistable_555_timer,555 latch circuit,R1,primitive,resistor,10000,ohmic,B,NET_TRIGGER</t>
  </si>
  <si>
    <t>bistable_555_timer,555 latch circuit,R2,primitive,resistor,10000,ohmic,A,NET_VIN</t>
  </si>
  <si>
    <t>bistable_555_timer,555 latch circuit,R2,primitive,resistor,10000,ohmic,B,NET_RESET</t>
  </si>
  <si>
    <t>bistable_555_timer,555 latch circuit,SW1,primitive,switch,,,"A",NET_TRIGGER</t>
  </si>
  <si>
    <t>bistable_555_timer,555 latch circuit,SW1,primitive,switch,,,"B",NET_GND</t>
  </si>
  <si>
    <t>bistable_555_timer,555 latch circuit,SW2,primitive,switch,,,"A",NET_RESET</t>
  </si>
  <si>
    <t>bistable_555_timer,555 latch circuit,SW2,primitive,switch,,,"B",NET_GND</t>
  </si>
  <si>
    <t>pwm_555_timer_trim_pot,555 PWM generator,V1,source,voltage,,,"POS",NET_VIN</t>
  </si>
  <si>
    <t>pwm_555_timer_trim_pot,555 PWM generator,V1,source,voltage,,,"NEG",NET_GND</t>
  </si>
  <si>
    <t>pwm_555_timer_trim_pot,555 PWM generator,U1,block,555_timer,,,"OUT",NET_VOUT</t>
  </si>
  <si>
    <t>pwm_555_timer_trim_pot,555 PWM generator,U1,block,555_timer,,,"DISCH",NET_DISCHARGE</t>
  </si>
  <si>
    <t>pwm_555_timer_trim_pot,555 PWM generator,U1,block,555_timer,,,"THRESH",NET_TIMING_NODE</t>
  </si>
  <si>
    <t>pwm_555_timer_trim_pot,555 PWM generator,RV1,primitive,potentiometer,100000,ohmic,A,NET_VIN</t>
  </si>
  <si>
    <t>pwm_555_timer_trim_pot,555 PWM generator,RV1,primitive,potentiometer,100000,ohmic,WIPER,NET_VIN</t>
  </si>
  <si>
    <t>pwm_555_timer_trim_pot,555 PWM generator,RV1,primitive,potentiometer,100000,ohmic,B,NET_DISCHARGE</t>
  </si>
  <si>
    <t>pwm_555_timer_trim_pot,555 PWM generator,R1,primitive,resistor,1000,ohmic,A,NET_DISCHARGE</t>
  </si>
  <si>
    <t>pwm_555_timer_trim_pot,555 PWM generator,R1,primitive,resistor,1000,ohmic,B,NET_TIMING_NODE</t>
  </si>
  <si>
    <t>pwm_555_timer_trim_pot,555 PWM generator,D1,primitive,diode,,,"ANODE",NET_TIMING_NODE</t>
  </si>
  <si>
    <t>pwm_555_timer_trim_pot,555 PWM generator,D1,primitive,diode,,,"CATHODE",NET_DISCHARGE</t>
  </si>
  <si>
    <t>pwm_555_timer_trim_pot,555 PWM generator,C1,primitive,capacitor,10,uf,A,NET_TIMING_NODE</t>
  </si>
  <si>
    <t>pwm_555_timer_trim_pot,555 PWM generator,C1,primitive,capacitor,10,uf,B,NET_GND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</si>
</sst>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D835-9399-47DD-8203-55D3441A1E62}">
  <dimension ref="A1:J59"/>
  <sheetViews>
    <sheetView tabSelected="1" workbookViewId="0">
      <selection sqref="A1:A59"/>
    </sheetView>
  </sheetViews>
  <sheetFormatPr defaultRowHeight="14.5" x14ac:dyDescent="0.35"/>
  <cols>
    <col min="1" max="1" width="108.36328125" bestFit="1" customWidth="1"/>
    <col min="2" max="2" width="21.36328125" bestFit="1" customWidth="1"/>
    <col min="3" max="3" width="27.7265625" bestFit="1" customWidth="1"/>
    <col min="4" max="4" width="6.7265625" bestFit="1" customWidth="1"/>
    <col min="5" max="5" width="14.26953125" bestFit="1" customWidth="1"/>
    <col min="6" max="6" width="14.36328125" bestFit="1" customWidth="1"/>
    <col min="7" max="7" width="15.1796875" bestFit="1" customWidth="1"/>
    <col min="8" max="8" width="19.54296875" bestFit="1" customWidth="1"/>
    <col min="9" max="9" width="9" bestFit="1" customWidth="1"/>
    <col min="10" max="10" width="17.54296875" bestFit="1" customWidth="1"/>
  </cols>
  <sheetData>
    <row r="1" spans="1:10" x14ac:dyDescent="0.35">
      <c r="A1" s="1" t="s">
        <v>0</v>
      </c>
      <c r="B1" s="1" t="str" cm="1">
        <f t="array" ref="B1:J1">IFERROR(SUBSTITUTE(_xlfn.TEXTSPLIT(A1,","),CHAR(34),""),"")</f>
        <v>circuit_name</v>
      </c>
      <c r="C1" s="1" t="str">
        <v>description</v>
      </c>
      <c r="D1" s="1" t="str">
        <v>ref_des</v>
      </c>
      <c r="E1" s="1" t="str">
        <v>component_kind</v>
      </c>
      <c r="F1" s="1" t="str">
        <v>component_type</v>
      </c>
      <c r="G1" s="1" t="str">
        <v>component_value</v>
      </c>
      <c r="H1" s="1" t="str">
        <v>component_value_type</v>
      </c>
      <c r="I1" s="1" t="str">
        <v>pin_name</v>
      </c>
      <c r="J1" s="1" t="str">
        <v>net_name</v>
      </c>
    </row>
    <row r="2" spans="1:10" x14ac:dyDescent="0.35">
      <c r="A2" s="1" t="s">
        <v>1</v>
      </c>
      <c r="B2" s="1" t="str" cm="1">
        <f t="array" ref="B2:J2">IFERROR(SUBSTITUTE(_xlfn.TEXTSPLIT(A2,","),CHAR(34),""),"")</f>
        <v>button_debounce</v>
      </c>
      <c r="C2" s="1" t="str">
        <v>RC debounce with schmitt trigger</v>
      </c>
      <c r="D2" s="1" t="str">
        <v>V1</v>
      </c>
      <c r="E2" s="1" t="str">
        <v>source</v>
      </c>
      <c r="F2" s="1" t="str">
        <v>voltage</v>
      </c>
      <c r="G2" s="1" t="str">
        <v/>
      </c>
      <c r="H2" s="1" t="str">
        <v/>
      </c>
      <c r="I2" s="1" t="str">
        <v>POS</v>
      </c>
      <c r="J2" s="1" t="str">
        <v>NET_VIN</v>
      </c>
    </row>
    <row r="3" spans="1:10" x14ac:dyDescent="0.35">
      <c r="A3" s="1" t="s">
        <v>2</v>
      </c>
      <c r="B3" s="1" t="str" cm="1">
        <f t="array" ref="B3:J3">IFERROR(SUBSTITUTE(_xlfn.TEXTSPLIT(A3,","),CHAR(34),""),"")</f>
        <v>button_debounce</v>
      </c>
      <c r="C3" s="1" t="str">
        <v>RC debounce with schmitt trigger</v>
      </c>
      <c r="D3" s="1" t="str">
        <v>V1</v>
      </c>
      <c r="E3" s="1" t="str">
        <v>source</v>
      </c>
      <c r="F3" s="1" t="str">
        <v>voltage</v>
      </c>
      <c r="G3" s="1" t="str">
        <v/>
      </c>
      <c r="H3" s="1" t="str">
        <v/>
      </c>
      <c r="I3" s="1" t="str">
        <v>NEG</v>
      </c>
      <c r="J3" s="1" t="str">
        <v>NET_GND</v>
      </c>
    </row>
    <row r="4" spans="1:10" x14ac:dyDescent="0.35">
      <c r="A4" s="1" t="s">
        <v>3</v>
      </c>
      <c r="B4" s="1" t="str" cm="1">
        <f t="array" ref="B4:J4">IFERROR(SUBSTITUTE(_xlfn.TEXTSPLIT(A4,","),CHAR(34),""),"")</f>
        <v>button_debounce</v>
      </c>
      <c r="C4" s="1" t="str">
        <v>RC debounce with schmitt trigger</v>
      </c>
      <c r="D4" s="1" t="str">
        <v>R1</v>
      </c>
      <c r="E4" s="1" t="str">
        <v>primitive</v>
      </c>
      <c r="F4" s="1" t="str">
        <v>resistor</v>
      </c>
      <c r="G4" s="1" t="str">
        <v>10000</v>
      </c>
      <c r="H4" s="1" t="str">
        <v>ohmic</v>
      </c>
      <c r="I4" s="1" t="str">
        <v>A</v>
      </c>
      <c r="J4" s="1" t="str">
        <v>NET_VIN</v>
      </c>
    </row>
    <row r="5" spans="1:10" x14ac:dyDescent="0.35">
      <c r="A5" s="1" t="s">
        <v>4</v>
      </c>
      <c r="B5" s="1" t="str" cm="1">
        <f t="array" ref="B5:J5">IFERROR(SUBSTITUTE(_xlfn.TEXTSPLIT(A5,","),CHAR(34),""),"")</f>
        <v>button_debounce</v>
      </c>
      <c r="C5" s="1" t="str">
        <v>RC debounce with schmitt trigger</v>
      </c>
      <c r="D5" s="1" t="str">
        <v>R1</v>
      </c>
      <c r="E5" s="1" t="str">
        <v>primitive</v>
      </c>
      <c r="F5" s="1" t="str">
        <v>resistor</v>
      </c>
      <c r="G5" s="1" t="str">
        <v>10000</v>
      </c>
      <c r="H5" s="1" t="str">
        <v>ohmic</v>
      </c>
      <c r="I5" s="1" t="str">
        <v>B</v>
      </c>
      <c r="J5" s="1" t="str">
        <v>NET_BUTTON_NODE</v>
      </c>
    </row>
    <row r="6" spans="1:10" x14ac:dyDescent="0.35">
      <c r="A6" s="1" t="s">
        <v>5</v>
      </c>
      <c r="B6" s="1" t="str" cm="1">
        <f t="array" ref="B6:J6">IFERROR(SUBSTITUTE(_xlfn.TEXTSPLIT(A6,","),CHAR(34),""),"")</f>
        <v>button_debounce</v>
      </c>
      <c r="C6" s="1" t="str">
        <v>RC debounce with schmitt trigger</v>
      </c>
      <c r="D6" s="1" t="str">
        <v>R2</v>
      </c>
      <c r="E6" s="1" t="str">
        <v>primitive</v>
      </c>
      <c r="F6" s="1" t="str">
        <v>resistor</v>
      </c>
      <c r="G6" s="1" t="str">
        <v>10000</v>
      </c>
      <c r="H6" s="1" t="str">
        <v>ohmic</v>
      </c>
      <c r="I6" s="1" t="str">
        <v>A</v>
      </c>
      <c r="J6" s="1" t="str">
        <v>NET_BUTTON_NODE</v>
      </c>
    </row>
    <row r="7" spans="1:10" x14ac:dyDescent="0.35">
      <c r="A7" s="1" t="s">
        <v>6</v>
      </c>
      <c r="B7" s="1" t="str" cm="1">
        <f t="array" ref="B7:J7">IFERROR(SUBSTITUTE(_xlfn.TEXTSPLIT(A7,","),CHAR(34),""),"")</f>
        <v>button_debounce</v>
      </c>
      <c r="C7" s="1" t="str">
        <v>RC debounce with schmitt trigger</v>
      </c>
      <c r="D7" s="1" t="str">
        <v>R2</v>
      </c>
      <c r="E7" s="1" t="str">
        <v>primitive</v>
      </c>
      <c r="F7" s="1" t="str">
        <v>resistor</v>
      </c>
      <c r="G7" s="1" t="str">
        <v>10000</v>
      </c>
      <c r="H7" s="1" t="str">
        <v>ohmic</v>
      </c>
      <c r="I7" s="1" t="str">
        <v>B</v>
      </c>
      <c r="J7" s="1" t="str">
        <v>NET_SCHMITT_IN</v>
      </c>
    </row>
    <row r="8" spans="1:10" x14ac:dyDescent="0.35">
      <c r="A8" s="1" t="s">
        <v>7</v>
      </c>
      <c r="B8" s="1" t="str" cm="1">
        <f t="array" ref="B8:J8">IFERROR(SUBSTITUTE(_xlfn.TEXTSPLIT(A8,","),CHAR(34),""),"")</f>
        <v>button_debounce</v>
      </c>
      <c r="C8" s="1" t="str">
        <v>RC debounce with schmitt trigger</v>
      </c>
      <c r="D8" s="1" t="str">
        <v>D1</v>
      </c>
      <c r="E8" s="1" t="str">
        <v>primitive</v>
      </c>
      <c r="F8" s="1" t="str">
        <v>diode</v>
      </c>
      <c r="G8" s="1" t="str">
        <v/>
      </c>
      <c r="H8" s="1" t="str">
        <v/>
      </c>
      <c r="I8" s="1" t="str">
        <v>ANODE</v>
      </c>
      <c r="J8" s="1" t="str">
        <v>NET_VIN</v>
      </c>
    </row>
    <row r="9" spans="1:10" x14ac:dyDescent="0.35">
      <c r="A9" s="1" t="s">
        <v>8</v>
      </c>
      <c r="B9" s="1" t="str" cm="1">
        <f t="array" ref="B9:J9">IFERROR(SUBSTITUTE(_xlfn.TEXTSPLIT(A9,","),CHAR(34),""),"")</f>
        <v>button_debounce</v>
      </c>
      <c r="C9" s="1" t="str">
        <v>RC debounce with schmitt trigger</v>
      </c>
      <c r="D9" s="1" t="str">
        <v>D1</v>
      </c>
      <c r="E9" s="1" t="str">
        <v>primitive</v>
      </c>
      <c r="F9" s="1" t="str">
        <v>diode</v>
      </c>
      <c r="G9" s="1" t="str">
        <v/>
      </c>
      <c r="H9" s="1" t="str">
        <v/>
      </c>
      <c r="I9" s="1" t="str">
        <v>CATHODE</v>
      </c>
      <c r="J9" s="1" t="str">
        <v>NET_SCHMITT_IN</v>
      </c>
    </row>
    <row r="10" spans="1:10" x14ac:dyDescent="0.35">
      <c r="A10" s="1" t="s">
        <v>9</v>
      </c>
      <c r="B10" s="1" t="str" cm="1">
        <f t="array" ref="B10:J10">IFERROR(SUBSTITUTE(_xlfn.TEXTSPLIT(A10,","),CHAR(34),""),"")</f>
        <v>button_debounce</v>
      </c>
      <c r="C10" s="1" t="str">
        <v>RC debounce with schmitt trigger</v>
      </c>
      <c r="D10" s="1" t="str">
        <v>C1</v>
      </c>
      <c r="E10" s="1" t="str">
        <v>primitive</v>
      </c>
      <c r="F10" s="1" t="str">
        <v>capacitor</v>
      </c>
      <c r="G10" s="1" t="str">
        <v>0.1</v>
      </c>
      <c r="H10" s="1" t="str">
        <v>uf</v>
      </c>
      <c r="I10" s="1" t="str">
        <v>A</v>
      </c>
      <c r="J10" s="1" t="str">
        <v>NET_SCHMITT_IN</v>
      </c>
    </row>
    <row r="11" spans="1:10" x14ac:dyDescent="0.35">
      <c r="A11" s="1" t="s">
        <v>10</v>
      </c>
      <c r="B11" s="1" t="str" cm="1">
        <f t="array" ref="B11:J11">IFERROR(SUBSTITUTE(_xlfn.TEXTSPLIT(A11,","),CHAR(34),""),"")</f>
        <v>button_debounce</v>
      </c>
      <c r="C11" s="1" t="str">
        <v>RC debounce with schmitt trigger</v>
      </c>
      <c r="D11" s="1" t="str">
        <v>C1</v>
      </c>
      <c r="E11" s="1" t="str">
        <v>primitive</v>
      </c>
      <c r="F11" s="1" t="str">
        <v>capacitor</v>
      </c>
      <c r="G11" s="1" t="str">
        <v>0.1</v>
      </c>
      <c r="H11" s="1" t="str">
        <v>uf</v>
      </c>
      <c r="I11" s="1" t="str">
        <v>B</v>
      </c>
      <c r="J11" s="1" t="str">
        <v>NET_GND</v>
      </c>
    </row>
    <row r="12" spans="1:10" x14ac:dyDescent="0.35">
      <c r="A12" s="1" t="s">
        <v>11</v>
      </c>
      <c r="B12" s="1" t="str" cm="1">
        <f t="array" ref="B12:J12">IFERROR(SUBSTITUTE(_xlfn.TEXTSPLIT(A12,","),CHAR(34),""),"")</f>
        <v>button_debounce</v>
      </c>
      <c r="C12" s="1" t="str">
        <v>RC debounce with schmitt trigger</v>
      </c>
      <c r="D12" s="1" t="str">
        <v>SW1</v>
      </c>
      <c r="E12" s="1" t="str">
        <v>primitive</v>
      </c>
      <c r="F12" s="1" t="str">
        <v>switch</v>
      </c>
      <c r="G12" s="1" t="str">
        <v/>
      </c>
      <c r="H12" s="1" t="str">
        <v/>
      </c>
      <c r="I12" s="1" t="str">
        <v>A</v>
      </c>
      <c r="J12" s="1" t="str">
        <v>NET_BUTTON_NODE</v>
      </c>
    </row>
    <row r="13" spans="1:10" x14ac:dyDescent="0.35">
      <c r="A13" s="1" t="s">
        <v>12</v>
      </c>
      <c r="B13" s="1" t="str" cm="1">
        <f t="array" ref="B13:J13">IFERROR(SUBSTITUTE(_xlfn.TEXTSPLIT(A13,","),CHAR(34),""),"")</f>
        <v>button_debounce</v>
      </c>
      <c r="C13" s="1" t="str">
        <v>RC debounce with schmitt trigger</v>
      </c>
      <c r="D13" s="1" t="str">
        <v>SW1</v>
      </c>
      <c r="E13" s="1" t="str">
        <v>primitive</v>
      </c>
      <c r="F13" s="1" t="str">
        <v>switch</v>
      </c>
      <c r="G13" s="1" t="str">
        <v/>
      </c>
      <c r="H13" s="1" t="str">
        <v/>
      </c>
      <c r="I13" s="1" t="str">
        <v>B</v>
      </c>
      <c r="J13" s="1" t="str">
        <v>NET_GND</v>
      </c>
    </row>
    <row r="14" spans="1:10" x14ac:dyDescent="0.35">
      <c r="A14" s="1" t="s">
        <v>13</v>
      </c>
      <c r="B14" s="1" t="str" cm="1">
        <f t="array" ref="B14:J14">IFERROR(SUBSTITUTE(_xlfn.TEXTSPLIT(A14,","),CHAR(34),""),"")</f>
        <v>button_debounce</v>
      </c>
      <c r="C14" s="1" t="str">
        <v>RC debounce with schmitt trigger</v>
      </c>
      <c r="D14" s="1" t="str">
        <v>U1</v>
      </c>
      <c r="E14" s="1" t="str">
        <v>block</v>
      </c>
      <c r="F14" s="1" t="str">
        <v>schmitt_trigger</v>
      </c>
      <c r="G14" s="1" t="str">
        <v/>
      </c>
      <c r="H14" s="1" t="str">
        <v/>
      </c>
      <c r="I14" s="1" t="str">
        <v>IN</v>
      </c>
      <c r="J14" s="1" t="str">
        <v>NET_SCHMITT_IN</v>
      </c>
    </row>
    <row r="15" spans="1:10" x14ac:dyDescent="0.35">
      <c r="A15" s="1" t="s">
        <v>14</v>
      </c>
      <c r="B15" s="1" t="str" cm="1">
        <f t="array" ref="B15:J15">IFERROR(SUBSTITUTE(_xlfn.TEXTSPLIT(A15,","),CHAR(34),""),"")</f>
        <v>button_debounce</v>
      </c>
      <c r="C15" s="1" t="str">
        <v>RC debounce with schmitt trigger</v>
      </c>
      <c r="D15" s="1" t="str">
        <v>U1</v>
      </c>
      <c r="E15" s="1" t="str">
        <v>block</v>
      </c>
      <c r="F15" s="1" t="str">
        <v>schmitt_trigger</v>
      </c>
      <c r="G15" s="1" t="str">
        <v/>
      </c>
      <c r="H15" s="1" t="str">
        <v/>
      </c>
      <c r="I15" s="1" t="str">
        <v>OUT</v>
      </c>
      <c r="J15" s="1" t="str">
        <v>NET_VOUT</v>
      </c>
    </row>
    <row r="16" spans="1:10" x14ac:dyDescent="0.35">
      <c r="A16" s="1"/>
      <c r="B16" s="1" t="str" cm="1">
        <f t="array" ref="B16">IFERROR(SUBSTITUTE(_xlfn.TEXTSPLIT(A16,","),CHAR(34),""),"")</f>
        <v/>
      </c>
      <c r="C16" s="1"/>
      <c r="D16" s="1"/>
      <c r="E16" s="1"/>
      <c r="F16" s="1"/>
      <c r="G16" s="1"/>
      <c r="H16" s="1"/>
      <c r="I16" s="1"/>
      <c r="J16" s="1"/>
    </row>
    <row r="17" spans="1:10" x14ac:dyDescent="0.35">
      <c r="A17" s="1" t="s">
        <v>15</v>
      </c>
      <c r="B17" s="1" t="str" cm="1">
        <f t="array" ref="B17:J17">IFERROR(SUBSTITUTE(_xlfn.TEXTSPLIT(A17,","),CHAR(34),""),"")</f>
        <v>astable_555_timer</v>
      </c>
      <c r="C17" s="1" t="str">
        <v>555 astable oscillator</v>
      </c>
      <c r="D17" s="1" t="str">
        <v>V1</v>
      </c>
      <c r="E17" s="1" t="str">
        <v>source</v>
      </c>
      <c r="F17" s="1" t="str">
        <v>voltage</v>
      </c>
      <c r="G17" s="1" t="str">
        <v/>
      </c>
      <c r="H17" s="1" t="str">
        <v/>
      </c>
      <c r="I17" s="1" t="str">
        <v>POS</v>
      </c>
      <c r="J17" s="1" t="str">
        <v>NET_VIN</v>
      </c>
    </row>
    <row r="18" spans="1:10" x14ac:dyDescent="0.35">
      <c r="A18" s="1" t="s">
        <v>16</v>
      </c>
      <c r="B18" s="1" t="str" cm="1">
        <f t="array" ref="B18:J18">IFERROR(SUBSTITUTE(_xlfn.TEXTSPLIT(A18,","),CHAR(34),""),"")</f>
        <v>astable_555_timer</v>
      </c>
      <c r="C18" s="1" t="str">
        <v>555 astable oscillator</v>
      </c>
      <c r="D18" s="1" t="str">
        <v>V1</v>
      </c>
      <c r="E18" s="1" t="str">
        <v>source</v>
      </c>
      <c r="F18" s="1" t="str">
        <v>voltage</v>
      </c>
      <c r="G18" s="1" t="str">
        <v/>
      </c>
      <c r="H18" s="1" t="str">
        <v/>
      </c>
      <c r="I18" s="1" t="str">
        <v>NEG</v>
      </c>
      <c r="J18" s="1" t="str">
        <v>NET_GND</v>
      </c>
    </row>
    <row r="19" spans="1:10" x14ac:dyDescent="0.35">
      <c r="A19" s="1" t="s">
        <v>17</v>
      </c>
      <c r="B19" s="1" t="str" cm="1">
        <f t="array" ref="B19:J19">IFERROR(SUBSTITUTE(_xlfn.TEXTSPLIT(A19,","),CHAR(34),""),"")</f>
        <v>astable_555_timer</v>
      </c>
      <c r="C19" s="1" t="str">
        <v>555 astable oscillator</v>
      </c>
      <c r="D19" s="1" t="str">
        <v>U1</v>
      </c>
      <c r="E19" s="1" t="str">
        <v>block</v>
      </c>
      <c r="F19" s="1" t="str">
        <v>555_timer</v>
      </c>
      <c r="G19" s="1" t="str">
        <v/>
      </c>
      <c r="H19" s="1" t="str">
        <v/>
      </c>
      <c r="I19" s="1" t="str">
        <v>VCC</v>
      </c>
      <c r="J19" s="1" t="str">
        <v>NET_VIN</v>
      </c>
    </row>
    <row r="20" spans="1:10" x14ac:dyDescent="0.35">
      <c r="A20" s="1" t="s">
        <v>18</v>
      </c>
      <c r="B20" s="1" t="str" cm="1">
        <f t="array" ref="B20:J20">IFERROR(SUBSTITUTE(_xlfn.TEXTSPLIT(A20,","),CHAR(34),""),"")</f>
        <v>astable_555_timer</v>
      </c>
      <c r="C20" s="1" t="str">
        <v>555 astable oscillator</v>
      </c>
      <c r="D20" s="1" t="str">
        <v>U1</v>
      </c>
      <c r="E20" s="1" t="str">
        <v>block</v>
      </c>
      <c r="F20" s="1" t="str">
        <v>555_timer</v>
      </c>
      <c r="G20" s="1" t="str">
        <v/>
      </c>
      <c r="H20" s="1" t="str">
        <v/>
      </c>
      <c r="I20" s="1" t="str">
        <v>GND</v>
      </c>
      <c r="J20" s="1" t="str">
        <v>NET_GND</v>
      </c>
    </row>
    <row r="21" spans="1:10" x14ac:dyDescent="0.35">
      <c r="A21" s="1" t="s">
        <v>19</v>
      </c>
      <c r="B21" s="1" t="str" cm="1">
        <f t="array" ref="B21:J21">IFERROR(SUBSTITUTE(_xlfn.TEXTSPLIT(A21,","),CHAR(34),""),"")</f>
        <v>astable_555_timer</v>
      </c>
      <c r="C21" s="1" t="str">
        <v>555 astable oscillator</v>
      </c>
      <c r="D21" s="1" t="str">
        <v>U1</v>
      </c>
      <c r="E21" s="1" t="str">
        <v>block</v>
      </c>
      <c r="F21" s="1" t="str">
        <v>555_timer</v>
      </c>
      <c r="G21" s="1" t="str">
        <v/>
      </c>
      <c r="H21" s="1" t="str">
        <v/>
      </c>
      <c r="I21" s="1" t="str">
        <v>OUT</v>
      </c>
      <c r="J21" s="1" t="str">
        <v>NET_VOUT</v>
      </c>
    </row>
    <row r="22" spans="1:10" x14ac:dyDescent="0.35">
      <c r="A22" s="1" t="s">
        <v>20</v>
      </c>
      <c r="B22" s="1" t="str" cm="1">
        <f t="array" ref="B22:J22">IFERROR(SUBSTITUTE(_xlfn.TEXTSPLIT(A22,","),CHAR(34),""),"")</f>
        <v>astable_555_timer</v>
      </c>
      <c r="C22" s="1" t="str">
        <v>555 astable oscillator</v>
      </c>
      <c r="D22" s="1" t="str">
        <v>U1</v>
      </c>
      <c r="E22" s="1" t="str">
        <v>block</v>
      </c>
      <c r="F22" s="1" t="str">
        <v>555_timer</v>
      </c>
      <c r="G22" s="1" t="str">
        <v/>
      </c>
      <c r="H22" s="1" t="str">
        <v/>
      </c>
      <c r="I22" s="1" t="str">
        <v>DISCH</v>
      </c>
      <c r="J22" s="1" t="str">
        <v>NET_DISCHARGE</v>
      </c>
    </row>
    <row r="23" spans="1:10" x14ac:dyDescent="0.35">
      <c r="A23" s="1" t="s">
        <v>21</v>
      </c>
      <c r="B23" s="1" t="str" cm="1">
        <f t="array" ref="B23:J23">IFERROR(SUBSTITUTE(_xlfn.TEXTSPLIT(A23,","),CHAR(34),""),"")</f>
        <v>astable_555_timer</v>
      </c>
      <c r="C23" s="1" t="str">
        <v>555 astable oscillator</v>
      </c>
      <c r="D23" s="1" t="str">
        <v>U1</v>
      </c>
      <c r="E23" s="1" t="str">
        <v>block</v>
      </c>
      <c r="F23" s="1" t="str">
        <v>555_timer</v>
      </c>
      <c r="G23" s="1" t="str">
        <v/>
      </c>
      <c r="H23" s="1" t="str">
        <v/>
      </c>
      <c r="I23" s="1" t="str">
        <v>THRESH</v>
      </c>
      <c r="J23" s="1" t="str">
        <v>NET_TIMING_NODE</v>
      </c>
    </row>
    <row r="24" spans="1:10" x14ac:dyDescent="0.35">
      <c r="A24" s="1" t="s">
        <v>22</v>
      </c>
      <c r="B24" s="1" t="str" cm="1">
        <f t="array" ref="B24:J24">IFERROR(SUBSTITUTE(_xlfn.TEXTSPLIT(A24,","),CHAR(34),""),"")</f>
        <v>astable_555_timer</v>
      </c>
      <c r="C24" s="1" t="str">
        <v>555 astable oscillator</v>
      </c>
      <c r="D24" s="1" t="str">
        <v>U1</v>
      </c>
      <c r="E24" s="1" t="str">
        <v>block</v>
      </c>
      <c r="F24" s="1" t="str">
        <v>555_timer</v>
      </c>
      <c r="G24" s="1" t="str">
        <v/>
      </c>
      <c r="H24" s="1" t="str">
        <v/>
      </c>
      <c r="I24" s="1" t="str">
        <v>TRIG</v>
      </c>
      <c r="J24" s="1" t="str">
        <v>NET_TIMING_NODE</v>
      </c>
    </row>
    <row r="25" spans="1:10" x14ac:dyDescent="0.35">
      <c r="A25" s="1" t="s">
        <v>23</v>
      </c>
      <c r="B25" s="1" t="str" cm="1">
        <f t="array" ref="B25:J25">IFERROR(SUBSTITUTE(_xlfn.TEXTSPLIT(A25,","),CHAR(34),""),"")</f>
        <v>astable_555_timer</v>
      </c>
      <c r="C25" s="1" t="str">
        <v>555 astable oscillator</v>
      </c>
      <c r="D25" s="1" t="str">
        <v>R1</v>
      </c>
      <c r="E25" s="1" t="str">
        <v>primitive</v>
      </c>
      <c r="F25" s="1" t="str">
        <v>resistor</v>
      </c>
      <c r="G25" s="1" t="str">
        <v>10000</v>
      </c>
      <c r="H25" s="1" t="str">
        <v>ohmic</v>
      </c>
      <c r="I25" s="1" t="str">
        <v>A</v>
      </c>
      <c r="J25" s="1" t="str">
        <v>NET_VIN</v>
      </c>
    </row>
    <row r="26" spans="1:10" x14ac:dyDescent="0.35">
      <c r="A26" s="1" t="s">
        <v>24</v>
      </c>
      <c r="B26" s="1" t="str" cm="1">
        <f t="array" ref="B26:J26">IFERROR(SUBSTITUTE(_xlfn.TEXTSPLIT(A26,","),CHAR(34),""),"")</f>
        <v>astable_555_timer</v>
      </c>
      <c r="C26" s="1" t="str">
        <v>555 astable oscillator</v>
      </c>
      <c r="D26" s="1" t="str">
        <v>R1</v>
      </c>
      <c r="E26" s="1" t="str">
        <v>primitive</v>
      </c>
      <c r="F26" s="1" t="str">
        <v>resistor</v>
      </c>
      <c r="G26" s="1" t="str">
        <v>10000</v>
      </c>
      <c r="H26" s="1" t="str">
        <v>ohmic</v>
      </c>
      <c r="I26" s="1" t="str">
        <v>B</v>
      </c>
      <c r="J26" s="1" t="str">
        <v>NET_DISCHARGE</v>
      </c>
    </row>
    <row r="27" spans="1:10" x14ac:dyDescent="0.35">
      <c r="A27" s="1" t="s">
        <v>25</v>
      </c>
      <c r="B27" s="1" t="str" cm="1">
        <f t="array" ref="B27:J27">IFERROR(SUBSTITUTE(_xlfn.TEXTSPLIT(A27,","),CHAR(34),""),"")</f>
        <v>astable_555_timer</v>
      </c>
      <c r="C27" s="1" t="str">
        <v>555 astable oscillator</v>
      </c>
      <c r="D27" s="1" t="str">
        <v>R2</v>
      </c>
      <c r="E27" s="1" t="str">
        <v>primitive</v>
      </c>
      <c r="F27" s="1" t="str">
        <v>resistor</v>
      </c>
      <c r="G27" s="1" t="str">
        <v>100000</v>
      </c>
      <c r="H27" s="1" t="str">
        <v>ohmic</v>
      </c>
      <c r="I27" s="1" t="str">
        <v>A</v>
      </c>
      <c r="J27" s="1" t="str">
        <v>NET_DISCHARGE</v>
      </c>
    </row>
    <row r="28" spans="1:10" x14ac:dyDescent="0.35">
      <c r="A28" s="1" t="s">
        <v>26</v>
      </c>
      <c r="B28" s="1" t="str" cm="1">
        <f t="array" ref="B28:J28">IFERROR(SUBSTITUTE(_xlfn.TEXTSPLIT(A28,","),CHAR(34),""),"")</f>
        <v>astable_555_timer</v>
      </c>
      <c r="C28" s="1" t="str">
        <v>555 astable oscillator</v>
      </c>
      <c r="D28" s="1" t="str">
        <v>R2</v>
      </c>
      <c r="E28" s="1" t="str">
        <v>primitive</v>
      </c>
      <c r="F28" s="1" t="str">
        <v>resistor</v>
      </c>
      <c r="G28" s="1" t="str">
        <v>100000</v>
      </c>
      <c r="H28" s="1" t="str">
        <v>ohmic</v>
      </c>
      <c r="I28" s="1" t="str">
        <v>B</v>
      </c>
      <c r="J28" s="1" t="str">
        <v>NET_TIMING_NODE</v>
      </c>
    </row>
    <row r="29" spans="1:10" x14ac:dyDescent="0.35">
      <c r="A29" s="1" t="s">
        <v>27</v>
      </c>
      <c r="B29" s="1" t="str" cm="1">
        <f t="array" ref="B29:J29">IFERROR(SUBSTITUTE(_xlfn.TEXTSPLIT(A29,","),CHAR(34),""),"")</f>
        <v>astable_555_timer</v>
      </c>
      <c r="C29" s="1" t="str">
        <v>555 astable oscillator</v>
      </c>
      <c r="D29" s="1" t="str">
        <v>C1</v>
      </c>
      <c r="E29" s="1" t="str">
        <v>primitive</v>
      </c>
      <c r="F29" s="1" t="str">
        <v>capacitor</v>
      </c>
      <c r="G29" s="1" t="str">
        <v>10</v>
      </c>
      <c r="H29" s="1" t="str">
        <v>uf</v>
      </c>
      <c r="I29" s="1" t="str">
        <v>A</v>
      </c>
      <c r="J29" s="1" t="str">
        <v>NET_TIMING_NODE</v>
      </c>
    </row>
    <row r="30" spans="1:10" x14ac:dyDescent="0.35">
      <c r="A30" s="1" t="s">
        <v>28</v>
      </c>
      <c r="B30" s="1" t="str" cm="1">
        <f t="array" ref="B30:J30">IFERROR(SUBSTITUTE(_xlfn.TEXTSPLIT(A30,","),CHAR(34),""),"")</f>
        <v>astable_555_timer</v>
      </c>
      <c r="C30" s="1" t="str">
        <v>555 astable oscillator</v>
      </c>
      <c r="D30" s="1" t="str">
        <v>C1</v>
      </c>
      <c r="E30" s="1" t="str">
        <v>primitive</v>
      </c>
      <c r="F30" s="1" t="str">
        <v>capacitor</v>
      </c>
      <c r="G30" s="1" t="str">
        <v>10</v>
      </c>
      <c r="H30" s="1" t="str">
        <v>uf</v>
      </c>
      <c r="I30" s="1" t="str">
        <v>B</v>
      </c>
      <c r="J30" s="1" t="str">
        <v>NET_GND</v>
      </c>
    </row>
    <row r="31" spans="1:10" x14ac:dyDescent="0.35">
      <c r="A31" s="1"/>
      <c r="B31" s="1" t="str" cm="1">
        <f t="array" ref="B31">IFERROR(SUBSTITUTE(_xlfn.TEXTSPLIT(A31,","),CHAR(34),""),"")</f>
        <v/>
      </c>
      <c r="C31" s="1"/>
      <c r="D31" s="1"/>
      <c r="E31" s="1"/>
      <c r="F31" s="1"/>
      <c r="G31" s="1"/>
      <c r="H31" s="1"/>
      <c r="I31" s="1"/>
      <c r="J31" s="1"/>
    </row>
    <row r="32" spans="1:10" x14ac:dyDescent="0.35">
      <c r="A32" s="1" t="s">
        <v>29</v>
      </c>
      <c r="B32" s="1" t="str" cm="1">
        <f t="array" ref="B32:J32">IFERROR(SUBSTITUTE(_xlfn.TEXTSPLIT(A32,","),CHAR(34),""),"")</f>
        <v>bistable_555_timer</v>
      </c>
      <c r="C32" s="1" t="str">
        <v>555 latch circuit</v>
      </c>
      <c r="D32" s="1" t="str">
        <v>V1</v>
      </c>
      <c r="E32" s="1" t="str">
        <v>source</v>
      </c>
      <c r="F32" s="1" t="str">
        <v>voltage</v>
      </c>
      <c r="G32" s="1" t="str">
        <v/>
      </c>
      <c r="H32" s="1" t="str">
        <v/>
      </c>
      <c r="I32" s="1" t="str">
        <v>POS</v>
      </c>
      <c r="J32" s="1" t="str">
        <v>NET_VIN</v>
      </c>
    </row>
    <row r="33" spans="1:10" x14ac:dyDescent="0.35">
      <c r="A33" s="1" t="s">
        <v>30</v>
      </c>
      <c r="B33" s="1" t="str" cm="1">
        <f t="array" ref="B33:J33">IFERROR(SUBSTITUTE(_xlfn.TEXTSPLIT(A33,","),CHAR(34),""),"")</f>
        <v>bistable_555_timer</v>
      </c>
      <c r="C33" s="1" t="str">
        <v>555 latch circuit</v>
      </c>
      <c r="D33" s="1" t="str">
        <v>V1</v>
      </c>
      <c r="E33" s="1" t="str">
        <v>source</v>
      </c>
      <c r="F33" s="1" t="str">
        <v>voltage</v>
      </c>
      <c r="G33" s="1" t="str">
        <v/>
      </c>
      <c r="H33" s="1" t="str">
        <v/>
      </c>
      <c r="I33" s="1" t="str">
        <v>NEG</v>
      </c>
      <c r="J33" s="1" t="str">
        <v>NET_GND</v>
      </c>
    </row>
    <row r="34" spans="1:10" x14ac:dyDescent="0.35">
      <c r="A34" s="1" t="s">
        <v>31</v>
      </c>
      <c r="B34" s="1" t="str" cm="1">
        <f t="array" ref="B34:J34">IFERROR(SUBSTITUTE(_xlfn.TEXTSPLIT(A34,","),CHAR(34),""),"")</f>
        <v>bistable_555_timer</v>
      </c>
      <c r="C34" s="1" t="str">
        <v>555 latch circuit</v>
      </c>
      <c r="D34" s="1" t="str">
        <v>U1</v>
      </c>
      <c r="E34" s="1" t="str">
        <v>block</v>
      </c>
      <c r="F34" s="1" t="str">
        <v>555_timer</v>
      </c>
      <c r="G34" s="1" t="str">
        <v/>
      </c>
      <c r="H34" s="1" t="str">
        <v/>
      </c>
      <c r="I34" s="1" t="str">
        <v>OUT</v>
      </c>
      <c r="J34" s="1" t="str">
        <v>NET_VOUT</v>
      </c>
    </row>
    <row r="35" spans="1:10" x14ac:dyDescent="0.35">
      <c r="A35" s="1" t="s">
        <v>32</v>
      </c>
      <c r="B35" s="1" t="str" cm="1">
        <f t="array" ref="B35:J35">IFERROR(SUBSTITUTE(_xlfn.TEXTSPLIT(A35,","),CHAR(34),""),"")</f>
        <v>bistable_555_timer</v>
      </c>
      <c r="C35" s="1" t="str">
        <v>555 latch circuit</v>
      </c>
      <c r="D35" s="1" t="str">
        <v>U1</v>
      </c>
      <c r="E35" s="1" t="str">
        <v>block</v>
      </c>
      <c r="F35" s="1" t="str">
        <v>555_timer</v>
      </c>
      <c r="G35" s="1" t="str">
        <v/>
      </c>
      <c r="H35" s="1" t="str">
        <v/>
      </c>
      <c r="I35" s="1" t="str">
        <v>TRIG</v>
      </c>
      <c r="J35" s="1" t="str">
        <v>NET_TRIGGER</v>
      </c>
    </row>
    <row r="36" spans="1:10" x14ac:dyDescent="0.35">
      <c r="A36" s="1" t="s">
        <v>33</v>
      </c>
      <c r="B36" s="1" t="str" cm="1">
        <f t="array" ref="B36:J36">IFERROR(SUBSTITUTE(_xlfn.TEXTSPLIT(A36,","),CHAR(34),""),"")</f>
        <v>bistable_555_timer</v>
      </c>
      <c r="C36" s="1" t="str">
        <v>555 latch circuit</v>
      </c>
      <c r="D36" s="1" t="str">
        <v>U1</v>
      </c>
      <c r="E36" s="1" t="str">
        <v>block</v>
      </c>
      <c r="F36" s="1" t="str">
        <v>555_timer</v>
      </c>
      <c r="G36" s="1" t="str">
        <v/>
      </c>
      <c r="H36" s="1" t="str">
        <v/>
      </c>
      <c r="I36" s="1" t="str">
        <v>RESET</v>
      </c>
      <c r="J36" s="1" t="str">
        <v>NET_RESET</v>
      </c>
    </row>
    <row r="37" spans="1:10" x14ac:dyDescent="0.35">
      <c r="A37" s="1" t="s">
        <v>34</v>
      </c>
      <c r="B37" s="1" t="str" cm="1">
        <f t="array" ref="B37:J37">IFERROR(SUBSTITUTE(_xlfn.TEXTSPLIT(A37,","),CHAR(34),""),"")</f>
        <v>bistable_555_timer</v>
      </c>
      <c r="C37" s="1" t="str">
        <v>555 latch circuit</v>
      </c>
      <c r="D37" s="1" t="str">
        <v>R1</v>
      </c>
      <c r="E37" s="1" t="str">
        <v>primitive</v>
      </c>
      <c r="F37" s="1" t="str">
        <v>resistor</v>
      </c>
      <c r="G37" s="1" t="str">
        <v>10000</v>
      </c>
      <c r="H37" s="1" t="str">
        <v>ohmic</v>
      </c>
      <c r="I37" s="1" t="str">
        <v>A</v>
      </c>
      <c r="J37" s="1" t="str">
        <v>NET_VIN</v>
      </c>
    </row>
    <row r="38" spans="1:10" x14ac:dyDescent="0.35">
      <c r="A38" s="1" t="s">
        <v>35</v>
      </c>
      <c r="B38" s="1" t="str" cm="1">
        <f t="array" ref="B38:J38">IFERROR(SUBSTITUTE(_xlfn.TEXTSPLIT(A38,","),CHAR(34),""),"")</f>
        <v>bistable_555_timer</v>
      </c>
      <c r="C38" s="1" t="str">
        <v>555 latch circuit</v>
      </c>
      <c r="D38" s="1" t="str">
        <v>R1</v>
      </c>
      <c r="E38" s="1" t="str">
        <v>primitive</v>
      </c>
      <c r="F38" s="1" t="str">
        <v>resistor</v>
      </c>
      <c r="G38" s="1" t="str">
        <v>10000</v>
      </c>
      <c r="H38" s="1" t="str">
        <v>ohmic</v>
      </c>
      <c r="I38" s="1" t="str">
        <v>B</v>
      </c>
      <c r="J38" s="1" t="str">
        <v>NET_TRIGGER</v>
      </c>
    </row>
    <row r="39" spans="1:10" x14ac:dyDescent="0.35">
      <c r="A39" s="1" t="s">
        <v>36</v>
      </c>
      <c r="B39" s="1" t="str" cm="1">
        <f t="array" ref="B39:J39">IFERROR(SUBSTITUTE(_xlfn.TEXTSPLIT(A39,","),CHAR(34),""),"")</f>
        <v>bistable_555_timer</v>
      </c>
      <c r="C39" s="1" t="str">
        <v>555 latch circuit</v>
      </c>
      <c r="D39" s="1" t="str">
        <v>R2</v>
      </c>
      <c r="E39" s="1" t="str">
        <v>primitive</v>
      </c>
      <c r="F39" s="1" t="str">
        <v>resistor</v>
      </c>
      <c r="G39" s="1" t="str">
        <v>10000</v>
      </c>
      <c r="H39" s="1" t="str">
        <v>ohmic</v>
      </c>
      <c r="I39" s="1" t="str">
        <v>A</v>
      </c>
      <c r="J39" s="1" t="str">
        <v>NET_VIN</v>
      </c>
    </row>
    <row r="40" spans="1:10" x14ac:dyDescent="0.35">
      <c r="A40" s="1" t="s">
        <v>37</v>
      </c>
      <c r="B40" s="1" t="str" cm="1">
        <f t="array" ref="B40:J40">IFERROR(SUBSTITUTE(_xlfn.TEXTSPLIT(A40,","),CHAR(34),""),"")</f>
        <v>bistable_555_timer</v>
      </c>
      <c r="C40" s="1" t="str">
        <v>555 latch circuit</v>
      </c>
      <c r="D40" s="1" t="str">
        <v>R2</v>
      </c>
      <c r="E40" s="1" t="str">
        <v>primitive</v>
      </c>
      <c r="F40" s="1" t="str">
        <v>resistor</v>
      </c>
      <c r="G40" s="1" t="str">
        <v>10000</v>
      </c>
      <c r="H40" s="1" t="str">
        <v>ohmic</v>
      </c>
      <c r="I40" s="1" t="str">
        <v>B</v>
      </c>
      <c r="J40" s="1" t="str">
        <v>NET_RESET</v>
      </c>
    </row>
    <row r="41" spans="1:10" x14ac:dyDescent="0.35">
      <c r="A41" s="1" t="s">
        <v>38</v>
      </c>
      <c r="B41" s="1" t="str" cm="1">
        <f t="array" ref="B41:J41">IFERROR(SUBSTITUTE(_xlfn.TEXTSPLIT(A41,","),CHAR(34),""),"")</f>
        <v>bistable_555_timer</v>
      </c>
      <c r="C41" s="1" t="str">
        <v>555 latch circuit</v>
      </c>
      <c r="D41" s="1" t="str">
        <v>SW1</v>
      </c>
      <c r="E41" s="1" t="str">
        <v>primitive</v>
      </c>
      <c r="F41" s="1" t="str">
        <v>switch</v>
      </c>
      <c r="G41" s="1" t="str">
        <v/>
      </c>
      <c r="H41" s="1" t="str">
        <v/>
      </c>
      <c r="I41" s="1" t="str">
        <v>A</v>
      </c>
      <c r="J41" s="1" t="str">
        <v>NET_TRIGGER</v>
      </c>
    </row>
    <row r="42" spans="1:10" x14ac:dyDescent="0.35">
      <c r="A42" s="1" t="s">
        <v>39</v>
      </c>
      <c r="B42" s="1" t="str" cm="1">
        <f t="array" ref="B42:J42">IFERROR(SUBSTITUTE(_xlfn.TEXTSPLIT(A42,","),CHAR(34),""),"")</f>
        <v>bistable_555_timer</v>
      </c>
      <c r="C42" s="1" t="str">
        <v>555 latch circuit</v>
      </c>
      <c r="D42" s="1" t="str">
        <v>SW1</v>
      </c>
      <c r="E42" s="1" t="str">
        <v>primitive</v>
      </c>
      <c r="F42" s="1" t="str">
        <v>switch</v>
      </c>
      <c r="G42" s="1" t="str">
        <v/>
      </c>
      <c r="H42" s="1" t="str">
        <v/>
      </c>
      <c r="I42" s="1" t="str">
        <v>B</v>
      </c>
      <c r="J42" s="1" t="str">
        <v>NET_GND</v>
      </c>
    </row>
    <row r="43" spans="1:10" x14ac:dyDescent="0.35">
      <c r="A43" s="1" t="s">
        <v>40</v>
      </c>
      <c r="B43" s="1" t="str" cm="1">
        <f t="array" ref="B43:J43">IFERROR(SUBSTITUTE(_xlfn.TEXTSPLIT(A43,","),CHAR(34),""),"")</f>
        <v>bistable_555_timer</v>
      </c>
      <c r="C43" s="1" t="str">
        <v>555 latch circuit</v>
      </c>
      <c r="D43" s="1" t="str">
        <v>SW2</v>
      </c>
      <c r="E43" s="1" t="str">
        <v>primitive</v>
      </c>
      <c r="F43" s="1" t="str">
        <v>switch</v>
      </c>
      <c r="G43" s="1" t="str">
        <v/>
      </c>
      <c r="H43" s="1" t="str">
        <v/>
      </c>
      <c r="I43" s="1" t="str">
        <v>A</v>
      </c>
      <c r="J43" s="1" t="str">
        <v>NET_RESET</v>
      </c>
    </row>
    <row r="44" spans="1:10" x14ac:dyDescent="0.35">
      <c r="A44" s="1" t="s">
        <v>41</v>
      </c>
      <c r="B44" s="1" t="str" cm="1">
        <f t="array" ref="B44:J44">IFERROR(SUBSTITUTE(_xlfn.TEXTSPLIT(A44,","),CHAR(34),""),"")</f>
        <v>bistable_555_timer</v>
      </c>
      <c r="C44" s="1" t="str">
        <v>555 latch circuit</v>
      </c>
      <c r="D44" s="1" t="str">
        <v>SW2</v>
      </c>
      <c r="E44" s="1" t="str">
        <v>primitive</v>
      </c>
      <c r="F44" s="1" t="str">
        <v>switch</v>
      </c>
      <c r="G44" s="1" t="str">
        <v/>
      </c>
      <c r="H44" s="1" t="str">
        <v/>
      </c>
      <c r="I44" s="1" t="str">
        <v>B</v>
      </c>
      <c r="J44" s="1" t="str">
        <v>NET_GND</v>
      </c>
    </row>
    <row r="45" spans="1:10" x14ac:dyDescent="0.35">
      <c r="A45" s="1"/>
      <c r="B45" s="1" t="str" cm="1">
        <f t="array" ref="B45">IFERROR(SUBSTITUTE(_xlfn.TEXTSPLIT(A45,","),CHAR(34),""),"")</f>
        <v/>
      </c>
      <c r="C45" s="1"/>
      <c r="D45" s="1"/>
      <c r="E45" s="1"/>
      <c r="F45" s="1"/>
      <c r="G45" s="1"/>
      <c r="H45" s="1"/>
      <c r="I45" s="1"/>
      <c r="J45" s="1"/>
    </row>
    <row r="46" spans="1:10" x14ac:dyDescent="0.35">
      <c r="A46" s="1" t="s">
        <v>42</v>
      </c>
      <c r="B46" s="1" t="str" cm="1">
        <f t="array" ref="B46:J46">IFERROR(SUBSTITUTE(_xlfn.TEXTSPLIT(A46,","),CHAR(34),""),"")</f>
        <v>pwm_555_timer_trim_pot</v>
      </c>
      <c r="C46" s="1" t="str">
        <v>555 PWM generator</v>
      </c>
      <c r="D46" s="1" t="str">
        <v>V1</v>
      </c>
      <c r="E46" s="1" t="str">
        <v>source</v>
      </c>
      <c r="F46" s="1" t="str">
        <v>voltage</v>
      </c>
      <c r="G46" s="1" t="str">
        <v/>
      </c>
      <c r="H46" s="1" t="str">
        <v/>
      </c>
      <c r="I46" s="1" t="str">
        <v>POS</v>
      </c>
      <c r="J46" s="1" t="str">
        <v>NET_VIN</v>
      </c>
    </row>
    <row r="47" spans="1:10" x14ac:dyDescent="0.35">
      <c r="A47" s="1" t="s">
        <v>43</v>
      </c>
      <c r="B47" s="1" t="str" cm="1">
        <f t="array" ref="B47:J47">IFERROR(SUBSTITUTE(_xlfn.TEXTSPLIT(A47,","),CHAR(34),""),"")</f>
        <v>pwm_555_timer_trim_pot</v>
      </c>
      <c r="C47" s="1" t="str">
        <v>555 PWM generator</v>
      </c>
      <c r="D47" s="1" t="str">
        <v>V1</v>
      </c>
      <c r="E47" s="1" t="str">
        <v>source</v>
      </c>
      <c r="F47" s="1" t="str">
        <v>voltage</v>
      </c>
      <c r="G47" s="1" t="str">
        <v/>
      </c>
      <c r="H47" s="1" t="str">
        <v/>
      </c>
      <c r="I47" s="1" t="str">
        <v>NEG</v>
      </c>
      <c r="J47" s="1" t="str">
        <v>NET_GND</v>
      </c>
    </row>
    <row r="48" spans="1:10" x14ac:dyDescent="0.35">
      <c r="A48" s="1" t="s">
        <v>44</v>
      </c>
      <c r="B48" s="1" t="str" cm="1">
        <f t="array" ref="B48:J48">IFERROR(SUBSTITUTE(_xlfn.TEXTSPLIT(A48,","),CHAR(34),""),"")</f>
        <v>pwm_555_timer_trim_pot</v>
      </c>
      <c r="C48" s="1" t="str">
        <v>555 PWM generator</v>
      </c>
      <c r="D48" s="1" t="str">
        <v>U1</v>
      </c>
      <c r="E48" s="1" t="str">
        <v>block</v>
      </c>
      <c r="F48" s="1" t="str">
        <v>555_timer</v>
      </c>
      <c r="G48" s="1" t="str">
        <v/>
      </c>
      <c r="H48" s="1" t="str">
        <v/>
      </c>
      <c r="I48" s="1" t="str">
        <v>OUT</v>
      </c>
      <c r="J48" s="1" t="str">
        <v>NET_VOUT</v>
      </c>
    </row>
    <row r="49" spans="1:10" x14ac:dyDescent="0.35">
      <c r="A49" s="1" t="s">
        <v>45</v>
      </c>
      <c r="B49" s="1" t="str" cm="1">
        <f t="array" ref="B49:J49">IFERROR(SUBSTITUTE(_xlfn.TEXTSPLIT(A49,","),CHAR(34),""),"")</f>
        <v>pwm_555_timer_trim_pot</v>
      </c>
      <c r="C49" s="1" t="str">
        <v>555 PWM generator</v>
      </c>
      <c r="D49" s="1" t="str">
        <v>U1</v>
      </c>
      <c r="E49" s="1" t="str">
        <v>block</v>
      </c>
      <c r="F49" s="1" t="str">
        <v>555_timer</v>
      </c>
      <c r="G49" s="1" t="str">
        <v/>
      </c>
      <c r="H49" s="1" t="str">
        <v/>
      </c>
      <c r="I49" s="1" t="str">
        <v>DISCH</v>
      </c>
      <c r="J49" s="1" t="str">
        <v>NET_DISCHARGE</v>
      </c>
    </row>
    <row r="50" spans="1:10" x14ac:dyDescent="0.35">
      <c r="A50" s="1" t="s">
        <v>46</v>
      </c>
      <c r="B50" s="1" t="str" cm="1">
        <f t="array" ref="B50:J50">IFERROR(SUBSTITUTE(_xlfn.TEXTSPLIT(A50,","),CHAR(34),""),"")</f>
        <v>pwm_555_timer_trim_pot</v>
      </c>
      <c r="C50" s="1" t="str">
        <v>555 PWM generator</v>
      </c>
      <c r="D50" s="1" t="str">
        <v>U1</v>
      </c>
      <c r="E50" s="1" t="str">
        <v>block</v>
      </c>
      <c r="F50" s="1" t="str">
        <v>555_timer</v>
      </c>
      <c r="G50" s="1" t="str">
        <v/>
      </c>
      <c r="H50" s="1" t="str">
        <v/>
      </c>
      <c r="I50" s="1" t="str">
        <v>THRESH</v>
      </c>
      <c r="J50" s="1" t="str">
        <v>NET_TIMING_NODE</v>
      </c>
    </row>
    <row r="51" spans="1:10" x14ac:dyDescent="0.35">
      <c r="A51" s="1" t="s">
        <v>47</v>
      </c>
      <c r="B51" s="1" t="str" cm="1">
        <f t="array" ref="B51:J51">IFERROR(SUBSTITUTE(_xlfn.TEXTSPLIT(A51,","),CHAR(34),""),"")</f>
        <v>pwm_555_timer_trim_pot</v>
      </c>
      <c r="C51" s="1" t="str">
        <v>555 PWM generator</v>
      </c>
      <c r="D51" s="1" t="str">
        <v>RV1</v>
      </c>
      <c r="E51" s="1" t="str">
        <v>primitive</v>
      </c>
      <c r="F51" s="1" t="str">
        <v>potentiometer</v>
      </c>
      <c r="G51" s="1" t="str">
        <v>100000</v>
      </c>
      <c r="H51" s="1" t="str">
        <v>ohmic</v>
      </c>
      <c r="I51" s="1" t="str">
        <v>A</v>
      </c>
      <c r="J51" s="1" t="str">
        <v>NET_VIN</v>
      </c>
    </row>
    <row r="52" spans="1:10" x14ac:dyDescent="0.35">
      <c r="A52" s="1" t="s">
        <v>48</v>
      </c>
      <c r="B52" s="1" t="str" cm="1">
        <f t="array" ref="B52:J52">IFERROR(SUBSTITUTE(_xlfn.TEXTSPLIT(A52,","),CHAR(34),""),"")</f>
        <v>pwm_555_timer_trim_pot</v>
      </c>
      <c r="C52" s="1" t="str">
        <v>555 PWM generator</v>
      </c>
      <c r="D52" s="1" t="str">
        <v>RV1</v>
      </c>
      <c r="E52" s="1" t="str">
        <v>primitive</v>
      </c>
      <c r="F52" s="1" t="str">
        <v>potentiometer</v>
      </c>
      <c r="G52" s="1" t="str">
        <v>100000</v>
      </c>
      <c r="H52" s="1" t="str">
        <v>ohmic</v>
      </c>
      <c r="I52" s="1" t="str">
        <v>WIPER</v>
      </c>
      <c r="J52" s="1" t="str">
        <v>NET_VIN</v>
      </c>
    </row>
    <row r="53" spans="1:10" x14ac:dyDescent="0.35">
      <c r="A53" s="1" t="s">
        <v>49</v>
      </c>
      <c r="B53" s="1" t="str" cm="1">
        <f t="array" ref="B53:J53">IFERROR(SUBSTITUTE(_xlfn.TEXTSPLIT(A53,","),CHAR(34),""),"")</f>
        <v>pwm_555_timer_trim_pot</v>
      </c>
      <c r="C53" s="1" t="str">
        <v>555 PWM generator</v>
      </c>
      <c r="D53" s="1" t="str">
        <v>RV1</v>
      </c>
      <c r="E53" s="1" t="str">
        <v>primitive</v>
      </c>
      <c r="F53" s="1" t="str">
        <v>potentiometer</v>
      </c>
      <c r="G53" s="1" t="str">
        <v>100000</v>
      </c>
      <c r="H53" s="1" t="str">
        <v>ohmic</v>
      </c>
      <c r="I53" s="1" t="str">
        <v>B</v>
      </c>
      <c r="J53" s="1" t="str">
        <v>NET_DISCHARGE</v>
      </c>
    </row>
    <row r="54" spans="1:10" x14ac:dyDescent="0.35">
      <c r="A54" s="1" t="s">
        <v>50</v>
      </c>
      <c r="B54" s="1" t="str" cm="1">
        <f t="array" ref="B54:J54">IFERROR(SUBSTITUTE(_xlfn.TEXTSPLIT(A54,","),CHAR(34),""),"")</f>
        <v>pwm_555_timer_trim_pot</v>
      </c>
      <c r="C54" s="1" t="str">
        <v>555 PWM generator</v>
      </c>
      <c r="D54" s="1" t="str">
        <v>R1</v>
      </c>
      <c r="E54" s="1" t="str">
        <v>primitive</v>
      </c>
      <c r="F54" s="1" t="str">
        <v>resistor</v>
      </c>
      <c r="G54" s="1" t="str">
        <v>1000</v>
      </c>
      <c r="H54" s="1" t="str">
        <v>ohmic</v>
      </c>
      <c r="I54" s="1" t="str">
        <v>A</v>
      </c>
      <c r="J54" s="1" t="str">
        <v>NET_DISCHARGE</v>
      </c>
    </row>
    <row r="55" spans="1:10" x14ac:dyDescent="0.35">
      <c r="A55" s="1" t="s">
        <v>51</v>
      </c>
      <c r="B55" s="1" t="str" cm="1">
        <f t="array" ref="B55:J55">IFERROR(SUBSTITUTE(_xlfn.TEXTSPLIT(A55,","),CHAR(34),""),"")</f>
        <v>pwm_555_timer_trim_pot</v>
      </c>
      <c r="C55" s="1" t="str">
        <v>555 PWM generator</v>
      </c>
      <c r="D55" s="1" t="str">
        <v>R1</v>
      </c>
      <c r="E55" s="1" t="str">
        <v>primitive</v>
      </c>
      <c r="F55" s="1" t="str">
        <v>resistor</v>
      </c>
      <c r="G55" s="1" t="str">
        <v>1000</v>
      </c>
      <c r="H55" s="1" t="str">
        <v>ohmic</v>
      </c>
      <c r="I55" s="1" t="str">
        <v>B</v>
      </c>
      <c r="J55" s="1" t="str">
        <v>NET_TIMING_NODE</v>
      </c>
    </row>
    <row r="56" spans="1:10" x14ac:dyDescent="0.35">
      <c r="A56" s="1" t="s">
        <v>52</v>
      </c>
      <c r="B56" s="1" t="str" cm="1">
        <f t="array" ref="B56:J56">IFERROR(SUBSTITUTE(_xlfn.TEXTSPLIT(A56,","),CHAR(34),""),"")</f>
        <v>pwm_555_timer_trim_pot</v>
      </c>
      <c r="C56" s="1" t="str">
        <v>555 PWM generator</v>
      </c>
      <c r="D56" s="1" t="str">
        <v>D1</v>
      </c>
      <c r="E56" s="1" t="str">
        <v>primitive</v>
      </c>
      <c r="F56" s="1" t="str">
        <v>diode</v>
      </c>
      <c r="G56" s="1" t="str">
        <v/>
      </c>
      <c r="H56" s="1" t="str">
        <v/>
      </c>
      <c r="I56" s="1" t="str">
        <v>ANODE</v>
      </c>
      <c r="J56" s="1" t="str">
        <v>NET_TIMING_NODE</v>
      </c>
    </row>
    <row r="57" spans="1:10" x14ac:dyDescent="0.35">
      <c r="A57" s="1" t="s">
        <v>53</v>
      </c>
      <c r="B57" s="1" t="str" cm="1">
        <f t="array" ref="B57:J57">IFERROR(SUBSTITUTE(_xlfn.TEXTSPLIT(A57,","),CHAR(34),""),"")</f>
        <v>pwm_555_timer_trim_pot</v>
      </c>
      <c r="C57" s="1" t="str">
        <v>555 PWM generator</v>
      </c>
      <c r="D57" s="1" t="str">
        <v>D1</v>
      </c>
      <c r="E57" s="1" t="str">
        <v>primitive</v>
      </c>
      <c r="F57" s="1" t="str">
        <v>diode</v>
      </c>
      <c r="G57" s="1" t="str">
        <v/>
      </c>
      <c r="H57" s="1" t="str">
        <v/>
      </c>
      <c r="I57" s="1" t="str">
        <v>CATHODE</v>
      </c>
      <c r="J57" s="1" t="str">
        <v>NET_DISCHARGE</v>
      </c>
    </row>
    <row r="58" spans="1:10" x14ac:dyDescent="0.35">
      <c r="A58" s="1" t="s">
        <v>54</v>
      </c>
      <c r="B58" s="1" t="str" cm="1">
        <f t="array" ref="B58:J58">IFERROR(SUBSTITUTE(_xlfn.TEXTSPLIT(A58,","),CHAR(34),""),"")</f>
        <v>pwm_555_timer_trim_pot</v>
      </c>
      <c r="C58" s="1" t="str">
        <v>555 PWM generator</v>
      </c>
      <c r="D58" s="1" t="str">
        <v>C1</v>
      </c>
      <c r="E58" s="1" t="str">
        <v>primitive</v>
      </c>
      <c r="F58" s="1" t="str">
        <v>capacitor</v>
      </c>
      <c r="G58" s="1" t="str">
        <v>10</v>
      </c>
      <c r="H58" s="1" t="str">
        <v>uf</v>
      </c>
      <c r="I58" s="1" t="str">
        <v>A</v>
      </c>
      <c r="J58" s="1" t="str">
        <v>NET_TIMING_NODE</v>
      </c>
    </row>
    <row r="59" spans="1:10" x14ac:dyDescent="0.35">
      <c r="A59" s="1" t="s">
        <v>55</v>
      </c>
      <c r="B59" s="1" t="str" cm="1">
        <f t="array" ref="B59:J59">IFERROR(SUBSTITUTE(_xlfn.TEXTSPLIT(A59,","),CHAR(34),""),"")</f>
        <v>pwm_555_timer_trim_pot</v>
      </c>
      <c r="C59" s="1" t="str">
        <v>555 PWM generator</v>
      </c>
      <c r="D59" s="1" t="str">
        <v>C1</v>
      </c>
      <c r="E59" s="1" t="str">
        <v>primitive</v>
      </c>
      <c r="F59" s="1" t="str">
        <v>capacitor</v>
      </c>
      <c r="G59" s="1" t="str">
        <v>10</v>
      </c>
      <c r="H59" s="1" t="str">
        <v>uf</v>
      </c>
      <c r="I59" s="1" t="str">
        <v>B</v>
      </c>
      <c r="J59" s="1" t="str">
        <v>NET_GND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Garcia</dc:creator>
  <cp:lastModifiedBy>Michael Garcia</cp:lastModifiedBy>
  <dcterms:created xsi:type="dcterms:W3CDTF">2026-05-01T01:30:44Z</dcterms:created>
  <dcterms:modified xsi:type="dcterms:W3CDTF">2026-05-01T15:45:34Z</dcterms:modified>
</cp:coreProperties>
</file>